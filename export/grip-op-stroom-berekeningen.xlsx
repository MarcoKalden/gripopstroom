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elichting" sheetId="1" state="visible" r:id="rId1"/>
    <sheet name="Uitgangspunten" sheetId="2" state="visible" r:id="rId2"/>
    <sheet name="Stappenplan" sheetId="3" state="visible" r:id="rId3"/>
    <sheet name="Pakketten" sheetId="4" state="visible" r:id="rId4"/>
    <sheet name="Controle" sheetId="5" state="visible" r:id="rId5"/>
    <sheet name="Bronn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€ &quot;#,##0;-&quot;€ &quot;#,##0;&quot;€ &quot;0"/>
    <numFmt numFmtId="165" formatCode="0.0%"/>
    <numFmt numFmtId="166" formatCode="+&quot;€ &quot;#,##0;-&quot;€ &quot;#,##0;&quot;€ &quot;0"/>
    <numFmt numFmtId="167" formatCode="+0.0%;-0.0%;0.0%"/>
    <numFmt numFmtId="168" formatCode="+0;-0;0"/>
  </numFmts>
  <fonts count="5">
    <font>
      <name val="Calibri"/>
      <family val="2"/>
      <color theme="1"/>
      <sz val="11"/>
      <scheme val="minor"/>
    </font>
    <font>
      <b val="1"/>
      <color rgb="000A2A5E"/>
      <sz val="16"/>
    </font>
    <font>
      <b val="1"/>
    </font>
    <font>
      <b val="1"/>
      <color rgb="00FFFFFF"/>
    </font>
    <font>
      <color rgb="001F5FAF"/>
      <u val="single"/>
    </font>
  </fonts>
  <fills count="6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F3F6FA"/>
      </patternFill>
    </fill>
    <fill>
      <patternFill patternType="solid">
        <fgColor rgb="000A2A5E"/>
      </patternFill>
    </fill>
    <fill>
      <patternFill patternType="solid">
        <fgColor rgb="00DCE8F5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3" fillId="4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0" borderId="1" applyAlignment="1" pivotButton="0" quotePrefix="0" xfId="0">
      <alignment vertical="top" wrapText="1"/>
    </xf>
    <xf numFmtId="1" fontId="0" fillId="2" borderId="1" pivotButton="0" quotePrefix="0" xfId="0"/>
    <xf numFmtId="164" fontId="0" fillId="2" borderId="1" pivotButton="0" quotePrefix="0" xfId="0"/>
    <xf numFmtId="165" fontId="0" fillId="2" borderId="1" pivotButton="0" quotePrefix="0" xfId="0"/>
    <xf numFmtId="166" fontId="0" fillId="2" borderId="1" pivotButton="0" quotePrefix="0" xfId="0"/>
    <xf numFmtId="0" fontId="2" fillId="5" borderId="0" applyAlignment="1" pivotButton="0" quotePrefix="0" xfId="0">
      <alignment horizontal="center"/>
    </xf>
    <xf numFmtId="0" fontId="3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168" fontId="0" fillId="3" borderId="1" applyAlignment="1" pivotButton="0" quotePrefix="0" xfId="0">
      <alignment vertical="top" wrapText="1"/>
    </xf>
    <xf numFmtId="166" fontId="0" fillId="2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167" fontId="0" fillId="3" borderId="1" applyAlignment="1" pivotButton="0" quotePrefix="0" xfId="0">
      <alignment vertical="top" wrapText="1"/>
    </xf>
    <xf numFmtId="164" fontId="0" fillId="3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/>
    </xf>
    <xf numFmtId="0" fontId="0" fillId="3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AD4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bagviewer.kadaster.nl" TargetMode="External" Id="rId1" /><Relationship Type="http://schemas.openxmlformats.org/officeDocument/2006/relationships/hyperlink" Target="https://www.ep-online.nl" TargetMode="External" Id="rId2" /><Relationship Type="http://schemas.openxmlformats.org/officeDocument/2006/relationships/hyperlink" Target="https://www.rvo.nl/onderwerpen/wetten-en-regels-gebouwen/energielabel-woningen" TargetMode="External" Id="rId3" /><Relationship Type="http://schemas.openxmlformats.org/officeDocument/2006/relationships/hyperlink" Target="https://www.milieucentraal.nl/energie-besparen/inzicht-in-je-energierekening/gemiddeld-energieverbruik/" TargetMode="External" Id="rId4" /><Relationship Type="http://schemas.openxmlformats.org/officeDocument/2006/relationships/hyperlink" Target="https://www.kadaster.nl/zakelijk/vastgoedinformatie/vastgoedcijfers" TargetMode="External" Id="rId5" /><Relationship Type="http://schemas.openxmlformats.org/officeDocument/2006/relationships/hyperlink" Target="https://www.consuwijzer.nl/kopen-op-afstand/bedenktijd" TargetMode="External" Id="rId6" /><Relationship Type="http://schemas.openxmlformats.org/officeDocument/2006/relationships/hyperlink" Target="https://www.rvo.nl/subsidies-financiering/isde/woningeigenaren" TargetMode="External" Id="rId7" /><Relationship Type="http://schemas.openxmlformats.org/officeDocument/2006/relationships/hyperlink" Target="https://www.warmtefonds.nl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Grip op Stroom: berekeningen stappenplan voorbeeldwoning</t>
        </is>
      </c>
    </row>
    <row r="2">
      <c r="A2" s="2" t="inlineStr">
        <is>
          <t>Stand van de website op 17 oktober 2026 (steps.json en content/pakketten.json).</t>
        </is>
      </c>
    </row>
    <row r="3">
      <c r="A3" s="2" t="inlineStr"/>
    </row>
    <row r="4">
      <c r="A4" s="3" t="inlineStr">
        <is>
          <t>Hoe werkt dit bestand</t>
        </is>
      </c>
    </row>
    <row r="5">
      <c r="A5" s="2" t="inlineStr">
        <is>
          <t>• Gele cellen zijn invoer. Pas je daar iets aan, dan rekenen alle cellen erna automatisch mee (ook de volgende stappen).</t>
        </is>
      </c>
    </row>
    <row r="6">
      <c r="A6" s="2" t="inlineStr">
        <is>
          <t>• Grijsblauwe cellen zijn berekend. Die hoef je niet aan te passen.</t>
        </is>
      </c>
    </row>
    <row r="7">
      <c r="A7" s="2" t="inlineStr">
        <is>
          <t>• Elke stap bouwt voort op de vorige: energiekosten en woningwaarde zijn steeds "vorige stap + verschil".</t>
        </is>
      </c>
    </row>
    <row r="8">
      <c r="A8" s="2" t="inlineStr">
        <is>
          <t>• Wil je iets anders? Pas de gele cel aan, of zet je wens in de kolom "Jouw aanpassing of opmerking". Stuur het bestand daarna terug; ik verwerk het op de site.</t>
        </is>
      </c>
    </row>
    <row r="9">
      <c r="A9" s="2" t="inlineStr">
        <is>
          <t>• Het blad "Controle" laat zien of de berekening nog gelijk is aan wat nu op de site staat. Na een aanpassing zie je daar welke getallen op de site veranderen.</t>
        </is>
      </c>
    </row>
    <row r="10">
      <c r="A10" s="2" t="inlineStr"/>
    </row>
    <row r="11">
      <c r="A11" s="3" t="inlineStr">
        <is>
          <t>Bladen</t>
        </is>
      </c>
    </row>
    <row r="12">
      <c r="A12" s="2" t="inlineStr">
        <is>
          <t>• Uitgangspunten: voorbeeldwoning, startwaarden, regel voor de woningwaarde en de correctie voor de warmtepomp.</t>
        </is>
      </c>
    </row>
    <row r="13">
      <c r="A13" s="2" t="inlineStr">
        <is>
          <t>• Stappenplan: de berekening per ingreep voor energielabel, energiekosten en woningwaarde.</t>
        </is>
      </c>
    </row>
    <row r="14">
      <c r="A14" s="2" t="inlineStr">
        <is>
          <t>• Pakketten: het labeleffect van Ferme, Stevige en Volledige grip.</t>
        </is>
      </c>
    </row>
    <row r="15">
      <c r="A15" s="2" t="inlineStr">
        <is>
          <t>• Controle: berekening naast de cijfers die nu op de site staan.</t>
        </is>
      </c>
    </row>
    <row r="16">
      <c r="A16" s="2" t="inlineStr">
        <is>
          <t>• Bronnen: de bronnen waar de site naar verwijst.</t>
        </is>
      </c>
    </row>
    <row r="17">
      <c r="A17" s="2" t="inlineStr"/>
    </row>
    <row r="18">
      <c r="A18" s="3" t="inlineStr">
        <is>
          <t>Herkomst van de cijfers</t>
        </is>
      </c>
    </row>
    <row r="19">
      <c r="A19" s="2" t="inlineStr">
        <is>
          <t>• Stap 1 t/m 3 (energiekosten): voorlopige schattingen, nog te valideren met een EP-adviseur.</t>
        </is>
      </c>
    </row>
    <row r="20">
      <c r="A20" s="2" t="inlineStr">
        <is>
          <t>• Woningwaarde stap 1 t/m 4: ca. 2% van de startwaarde per labelstap (afgeleid van Kadaster: label B verkoopt gem. ca. 2,1% lager dan label A of beter).</t>
        </is>
      </c>
    </row>
    <row r="21">
      <c r="A21" s="2" t="inlineStr">
        <is>
          <t>• Stap 3 t/m 5 waren berekend mét warmtepomp. Dat effect is eraf gehaald met de bedragen van stap 7 (+€ 350 per jaar energiekosten, -€ 7.500 woningwaarde). Omdat elke stap voortbouwt op de vorige, staat die correctie bij stap 3 en werkt ze door in stap 4 en 5.</t>
        </is>
      </c>
    </row>
    <row r="22">
      <c r="A22" s="2" t="inlineStr">
        <is>
          <t>• Stap 5 t/m 7 (laadpaal, airco, warmtepomp): verschillen door Marco opgegeven in oktober 2026.</t>
        </is>
      </c>
    </row>
    <row r="23">
      <c r="A23" s="2" t="inlineStr">
        <is>
          <t>• Labels: stap 1 en 2 schatting; stap 3 t/m 5 nog laten controleren (zonder warmtepomp); stap 6 A+++ en stap 7 A++++ door Marco opgegeven.</t>
        </is>
      </c>
    </row>
    <row r="24">
      <c r="A24" s="2" t="inlineStr">
        <is>
          <t>• Batterij, energiemanagement en laadpaal tellen voor zover bekend niet mee in de labelberekening (NTA 8800). Nog te bevestigen.</t>
        </is>
      </c>
    </row>
    <row r="26">
      <c r="A26" s="4" t="inlineStr">
        <is>
          <t>Legenda</t>
        </is>
      </c>
    </row>
    <row r="27">
      <c r="A27" s="5" t="inlineStr">
        <is>
          <t>Invoer: hier mag je aanpassen</t>
        </is>
      </c>
    </row>
    <row r="28">
      <c r="A28" s="6" t="inlineStr">
        <is>
          <t>Berekend: past zich automatisch aan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70" customWidth="1" min="3" max="3"/>
  </cols>
  <sheetData>
    <row r="1">
      <c r="A1" s="7" t="inlineStr">
        <is>
          <t>Uitgangspunten</t>
        </is>
      </c>
    </row>
    <row r="3">
      <c r="A3" s="8" t="inlineStr">
        <is>
          <t>Uitgangspunt</t>
        </is>
      </c>
      <c r="B3" s="8" t="inlineStr">
        <is>
          <t>Waarde</t>
        </is>
      </c>
      <c r="C3" s="8" t="inlineStr">
        <is>
          <t>Toelichting</t>
        </is>
      </c>
    </row>
    <row r="4">
      <c r="A4" s="9" t="inlineStr">
        <is>
          <t>Type woning</t>
        </is>
      </c>
      <c r="B4" s="10" t="inlineStr">
        <is>
          <t>hoekwoning</t>
        </is>
      </c>
      <c r="C4" s="11" t="inlineStr">
        <is>
          <t>Voorbeeldwoning</t>
        </is>
      </c>
    </row>
    <row r="5">
      <c r="A5" s="9" t="inlineStr">
        <is>
          <t>Bouwjaar</t>
        </is>
      </c>
      <c r="B5" s="12" t="n">
        <v>1980</v>
      </c>
      <c r="C5" s="11" t="inlineStr"/>
    </row>
    <row r="6">
      <c r="A6" s="9" t="inlineStr">
        <is>
          <t>Woonoppervlak (m²)</t>
        </is>
      </c>
      <c r="B6" s="12" t="n">
        <v>120</v>
      </c>
      <c r="C6" s="11" t="inlineStr"/>
    </row>
    <row r="7">
      <c r="A7" s="9" t="inlineStr">
        <is>
          <t>Startlabel</t>
        </is>
      </c>
      <c r="B7" s="10" t="inlineStr">
        <is>
          <t>C</t>
        </is>
      </c>
      <c r="C7" s="11" t="inlineStr">
        <is>
          <t>Label van de woning zoals ze nu is</t>
        </is>
      </c>
    </row>
    <row r="8">
      <c r="A8" s="9" t="inlineStr">
        <is>
          <t>Energiekosten per jaar bij start</t>
        </is>
      </c>
      <c r="B8" s="13" t="n">
        <v>2300</v>
      </c>
      <c r="C8" s="11" t="inlineStr">
        <is>
          <t>Schatting, bron Milieu Centraal (gemiddeld verbruik en prijzen)</t>
        </is>
      </c>
    </row>
    <row r="9">
      <c r="A9" s="9" t="inlineStr">
        <is>
          <t>Woningwaarde bij start</t>
        </is>
      </c>
      <c r="B9" s="13" t="n">
        <v>400000</v>
      </c>
      <c r="C9" s="11" t="inlineStr">
        <is>
          <t>Voorbeeldbedrag</t>
        </is>
      </c>
    </row>
    <row r="10">
      <c r="A10" s="9" t="inlineStr">
        <is>
          <t>Waardestijging per labelstap</t>
        </is>
      </c>
      <c r="B10" s="14" t="n">
        <v>0.02</v>
      </c>
      <c r="C10" s="11" t="inlineStr">
        <is>
          <t>Percentage van de startwaarde per labelstap. Afgeleid van Kadaster (label B gem. ca. 2,1% lager dan A of beter)</t>
        </is>
      </c>
    </row>
    <row r="11">
      <c r="A11" s="9" t="inlineStr">
        <is>
          <t>Correctie warmtepomp: energiekosten per jaar</t>
        </is>
      </c>
      <c r="B11" s="15" t="n">
        <v>350</v>
      </c>
      <c r="C11" s="11" t="inlineStr">
        <is>
          <t>Bij stap 3 opgeteld: de oorspronkelijke berekening van stap 3 t/m 5 ging uit van een warmtepomp</t>
        </is>
      </c>
    </row>
    <row r="12">
      <c r="A12" s="9" t="inlineStr">
        <is>
          <t>Correctie warmtepomp: woningwaarde</t>
        </is>
      </c>
      <c r="B12" s="15" t="n">
        <v>-7500</v>
      </c>
      <c r="C12" s="11" t="inlineStr">
        <is>
          <t>Bij stap 3 afgetrokken, om dezelfde reden</t>
        </is>
      </c>
    </row>
    <row r="14">
      <c r="A14" s="4" t="inlineStr">
        <is>
          <t>Labelschaal (beste bovenaan)</t>
        </is>
      </c>
    </row>
    <row r="15">
      <c r="A15" s="9" t="inlineStr">
        <is>
          <t>A++++</t>
        </is>
      </c>
      <c r="B15" s="9" t="n">
        <v>1</v>
      </c>
    </row>
    <row r="16">
      <c r="A16" s="9" t="inlineStr">
        <is>
          <t>A+++</t>
        </is>
      </c>
      <c r="B16" s="9" t="n">
        <v>2</v>
      </c>
    </row>
    <row r="17">
      <c r="A17" s="9" t="inlineStr">
        <is>
          <t>A++</t>
        </is>
      </c>
      <c r="B17" s="9" t="n">
        <v>3</v>
      </c>
    </row>
    <row r="18">
      <c r="A18" s="9" t="inlineStr">
        <is>
          <t>A+</t>
        </is>
      </c>
      <c r="B18" s="9" t="n">
        <v>4</v>
      </c>
    </row>
    <row r="19">
      <c r="A19" s="9" t="inlineStr">
        <is>
          <t>A</t>
        </is>
      </c>
      <c r="B19" s="9" t="n">
        <v>5</v>
      </c>
    </row>
    <row r="20">
      <c r="A20" s="9" t="inlineStr">
        <is>
          <t>B</t>
        </is>
      </c>
      <c r="B20" s="9" t="n">
        <v>6</v>
      </c>
    </row>
    <row r="21">
      <c r="A21" s="9" t="inlineStr">
        <is>
          <t>C</t>
        </is>
      </c>
      <c r="B21" s="9" t="n">
        <v>7</v>
      </c>
    </row>
    <row r="22">
      <c r="A22" s="9" t="inlineStr">
        <is>
          <t>D</t>
        </is>
      </c>
      <c r="B22" s="9" t="n">
        <v>8</v>
      </c>
    </row>
    <row r="23">
      <c r="A23" s="9" t="inlineStr">
        <is>
          <t>E</t>
        </is>
      </c>
      <c r="B23" s="9" t="n">
        <v>9</v>
      </c>
    </row>
    <row r="24">
      <c r="A24" s="9" t="inlineStr">
        <is>
          <t>F</t>
        </is>
      </c>
      <c r="B24" s="9" t="n">
        <v>10</v>
      </c>
    </row>
    <row r="25">
      <c r="A25" s="9" t="inlineStr">
        <is>
          <t>G</t>
        </is>
      </c>
      <c r="B25" s="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1" customWidth="1" min="3" max="3"/>
    <col width="12" customWidth="1" min="4" max="4"/>
    <col width="10" customWidth="1" min="5" max="5"/>
    <col width="30" customWidth="1" min="6" max="6"/>
    <col width="13" customWidth="1" min="7" max="7"/>
    <col width="13" customWidth="1" min="8" max="8"/>
    <col width="13" customWidth="1" min="9" max="9"/>
    <col width="12" customWidth="1" min="10" max="10"/>
    <col width="13" customWidth="1" min="11" max="11"/>
    <col width="13" customWidth="1" min="12" max="12"/>
    <col width="15" customWidth="1" min="13" max="13"/>
    <col width="38" customWidth="1" min="14" max="14"/>
    <col width="22" customWidth="1" min="15" max="15"/>
    <col width="13" customWidth="1" min="16" max="16"/>
    <col width="13" customWidth="1" min="17" max="17"/>
    <col width="13" customWidth="1" min="18" max="18"/>
    <col width="13" customWidth="1" min="19" max="19"/>
    <col width="10" customWidth="1" min="20" max="20"/>
    <col width="44" customWidth="1" min="21" max="21"/>
    <col width="22" customWidth="1" min="22" max="22"/>
    <col width="44" customWidth="1" min="23" max="23"/>
  </cols>
  <sheetData>
    <row r="1">
      <c r="A1" s="7" t="inlineStr">
        <is>
          <t>Stappenplan voorbeeldwoning: berekening per ingreep</t>
        </is>
      </c>
    </row>
    <row r="2">
      <c r="A2" s="16" t="inlineStr">
        <is>
          <t>Ingreep</t>
        </is>
      </c>
      <c r="C2" s="16" t="inlineStr">
        <is>
          <t>Energielabel</t>
        </is>
      </c>
      <c r="G2" s="16" t="inlineStr">
        <is>
          <t>Energiekosten</t>
        </is>
      </c>
      <c r="O2" s="16" t="inlineStr">
        <is>
          <t>Woningwaarde</t>
        </is>
      </c>
      <c r="U2" s="16" t="inlineStr">
        <is>
          <t>Site</t>
        </is>
      </c>
      <c r="W2" s="16" t="inlineStr">
        <is>
          <t>Aanpassing</t>
        </is>
      </c>
    </row>
    <row r="3" ht="62" customHeight="1">
      <c r="A3" s="17" t="inlineStr">
        <is>
          <t>Stap</t>
        </is>
      </c>
      <c r="B3" s="17" t="inlineStr">
        <is>
          <t>Ingreep</t>
        </is>
      </c>
      <c r="C3" s="17" t="inlineStr">
        <is>
          <t>Energielabel</t>
        </is>
      </c>
      <c r="D3" s="17" t="inlineStr">
        <is>
          <t>Labelstappen t.o.v. vorige stap</t>
        </is>
      </c>
      <c r="E3" s="17" t="inlineStr">
        <is>
          <t>Telt mee in label?</t>
        </is>
      </c>
      <c r="F3" s="17" t="inlineStr">
        <is>
          <t>Status label</t>
        </is>
      </c>
      <c r="G3" s="17" t="inlineStr">
        <is>
          <t>Verschil energiekosten per jaar</t>
        </is>
      </c>
      <c r="H3" s="17" t="inlineStr">
        <is>
          <t>Correctie warmtepomp per jaar</t>
        </is>
      </c>
      <c r="I3" s="17" t="inlineStr">
        <is>
          <t>Energiekosten per jaar</t>
        </is>
      </c>
      <c r="J3" s="17" t="inlineStr">
        <is>
          <t>Energiekosten per maand</t>
        </is>
      </c>
      <c r="K3" s="17" t="inlineStr">
        <is>
          <t>Verschil per maand t.o.v. vorige stap</t>
        </is>
      </c>
      <c r="L3" s="17" t="inlineStr">
        <is>
          <t>Besparing per jaar t.o.v. start</t>
        </is>
      </c>
      <c r="M3" s="17" t="inlineStr">
        <is>
          <t>Overige besparing per maand (niet op energierekening)</t>
        </is>
      </c>
      <c r="N3" s="17" t="inlineStr">
        <is>
          <t>Herkomst energiekosten</t>
        </is>
      </c>
      <c r="O3" s="17" t="inlineStr">
        <is>
          <t>Methode woningwaarde</t>
        </is>
      </c>
      <c r="P3" s="17" t="inlineStr">
        <is>
          <t>Verschil woningwaarde</t>
        </is>
      </c>
      <c r="Q3" s="17" t="inlineStr">
        <is>
          <t>Correctie warmtepomp</t>
        </is>
      </c>
      <c r="R3" s="17" t="inlineStr">
        <is>
          <t>Woningwaarde</t>
        </is>
      </c>
      <c r="S3" s="17" t="inlineStr">
        <is>
          <t>Hoger dan start</t>
        </is>
      </c>
      <c r="T3" s="17" t="inlineStr">
        <is>
          <t>Hoger dan start (%)</t>
        </is>
      </c>
      <c r="U3" s="17" t="inlineStr">
        <is>
          <t>Tekst op de site bij deze stap</t>
        </is>
      </c>
      <c r="V3" s="17" t="inlineStr">
        <is>
          <t>Bronnen (id)</t>
        </is>
      </c>
      <c r="W3" s="17" t="inlineStr">
        <is>
          <t>Jouw aanpassing of opmerking</t>
        </is>
      </c>
    </row>
    <row r="4" ht="48" customHeight="1">
      <c r="A4" s="11" t="n">
        <v>0</v>
      </c>
      <c r="B4" s="11" t="inlineStr">
        <is>
          <t>Uitgangssituatie</t>
        </is>
      </c>
      <c r="C4" s="18">
        <f>Uitgangspunten!$B$7</f>
        <v/>
      </c>
      <c r="D4" s="19" t="n"/>
      <c r="E4" s="11" t="inlineStr"/>
      <c r="F4" s="11" t="inlineStr">
        <is>
          <t>Uitgangspunt</t>
        </is>
      </c>
      <c r="G4" s="20" t="n"/>
      <c r="H4" s="20" t="n"/>
      <c r="I4" s="21">
        <f>Uitgangspunten!$B$8</f>
        <v/>
      </c>
      <c r="J4" s="21">
        <f>I4/12</f>
        <v/>
      </c>
      <c r="K4" s="20" t="n"/>
      <c r="L4" s="20" t="n"/>
      <c r="M4" s="22" t="n"/>
      <c r="N4" s="11" t="inlineStr">
        <is>
          <t>Uitgangspunt (zie blad Uitgangspunten)</t>
        </is>
      </c>
      <c r="O4" s="11" t="inlineStr">
        <is>
          <t>Uitgangspunt</t>
        </is>
      </c>
      <c r="P4" s="20" t="n"/>
      <c r="Q4" s="20" t="n"/>
      <c r="R4" s="21">
        <f>Uitgangspunten!$B$9</f>
        <v/>
      </c>
      <c r="S4" s="20" t="n"/>
      <c r="T4" s="23" t="n"/>
      <c r="U4" s="11" t="inlineStr"/>
      <c r="V4" s="11" t="inlineStr">
        <is>
          <t>ep-online, kadaster, milieu-centraal, voorbeeldwoning</t>
        </is>
      </c>
      <c r="W4" s="24" t="n"/>
    </row>
    <row r="5" ht="48" customHeight="1">
      <c r="A5" s="11" t="n">
        <v>1</v>
      </c>
      <c r="B5" s="11" t="inlineStr">
        <is>
          <t>Kozijnen met HR++ glas</t>
        </is>
      </c>
      <c r="C5" s="24" t="inlineStr">
        <is>
          <t>B</t>
        </is>
      </c>
      <c r="D5" s="25">
        <f>MATCH(C4,Uitgangspunten!$A$15:$A$25,0)-MATCH(C5,Uitgangspunten!$A$15:$A$25,0)</f>
        <v/>
      </c>
      <c r="E5" s="11" t="inlineStr">
        <is>
          <t>ja</t>
        </is>
      </c>
      <c r="F5" s="11" t="inlineStr">
        <is>
          <t>Schatting, nog valideren met EP-adviseur</t>
        </is>
      </c>
      <c r="G5" s="26" t="n">
        <v>-250</v>
      </c>
      <c r="H5" s="20" t="n"/>
      <c r="I5" s="21">
        <f>I4+G5+N(H5)</f>
        <v/>
      </c>
      <c r="J5" s="21">
        <f>I5/12</f>
        <v/>
      </c>
      <c r="K5" s="27">
        <f>(I5-I4)/12</f>
        <v/>
      </c>
      <c r="L5" s="27">
        <f>I4-I5</f>
        <v/>
      </c>
      <c r="M5" s="28" t="n"/>
      <c r="N5" s="11" t="inlineStr">
        <is>
          <t>Voorlopige schatting, nog valideren</t>
        </is>
      </c>
      <c r="O5" s="11" t="inlineStr">
        <is>
          <t>2% van startwaarde per labelstap</t>
        </is>
      </c>
      <c r="P5" s="27">
        <f>D5*Uitgangspunten!$B$10*Uitgangspunten!$B$9</f>
        <v/>
      </c>
      <c r="Q5" s="20" t="n"/>
      <c r="R5" s="21">
        <f>R4+P5+N(Q5)</f>
        <v/>
      </c>
      <c r="S5" s="27">
        <f>R5-R4</f>
        <v/>
      </c>
      <c r="T5" s="29">
        <f>S5/R4</f>
        <v/>
      </c>
      <c r="U5" s="11" t="inlineStr"/>
      <c r="V5" s="11" t="inlineStr">
        <is>
          <t>kadaster, milieu-centraal, nta-8800</t>
        </is>
      </c>
      <c r="W5" s="24" t="n"/>
    </row>
    <row r="6" ht="48" customHeight="1">
      <c r="A6" s="11" t="n">
        <v>2</v>
      </c>
      <c r="B6" s="11" t="inlineStr">
        <is>
          <t>Dak- en vloerisolatie</t>
        </is>
      </c>
      <c r="C6" s="24" t="inlineStr">
        <is>
          <t>A</t>
        </is>
      </c>
      <c r="D6" s="25">
        <f>MATCH(C5,Uitgangspunten!$A$15:$A$25,0)-MATCH(C6,Uitgangspunten!$A$15:$A$25,0)</f>
        <v/>
      </c>
      <c r="E6" s="11" t="inlineStr">
        <is>
          <t>ja</t>
        </is>
      </c>
      <c r="F6" s="11" t="inlineStr">
        <is>
          <t>Schatting, nog valideren met EP-adviseur</t>
        </is>
      </c>
      <c r="G6" s="26" t="n">
        <v>-300</v>
      </c>
      <c r="H6" s="20" t="n"/>
      <c r="I6" s="21">
        <f>I5+G6+N(H6)</f>
        <v/>
      </c>
      <c r="J6" s="21">
        <f>I6/12</f>
        <v/>
      </c>
      <c r="K6" s="27">
        <f>(I6-I5)/12</f>
        <v/>
      </c>
      <c r="L6" s="27">
        <f>I4-I6</f>
        <v/>
      </c>
      <c r="M6" s="28" t="n"/>
      <c r="N6" s="11" t="inlineStr">
        <is>
          <t>Voorlopige schatting, nog valideren</t>
        </is>
      </c>
      <c r="O6" s="11" t="inlineStr">
        <is>
          <t>2% van startwaarde per labelstap</t>
        </is>
      </c>
      <c r="P6" s="27">
        <f>D6*Uitgangspunten!$B$10*Uitgangspunten!$B$9</f>
        <v/>
      </c>
      <c r="Q6" s="20" t="n"/>
      <c r="R6" s="21">
        <f>R5+P6+N(Q6)</f>
        <v/>
      </c>
      <c r="S6" s="27">
        <f>R6-R4</f>
        <v/>
      </c>
      <c r="T6" s="29">
        <f>S6/R4</f>
        <v/>
      </c>
      <c r="U6" s="11" t="inlineStr"/>
      <c r="V6" s="11" t="inlineStr">
        <is>
          <t>kadaster, milieu-centraal, nta-8800</t>
        </is>
      </c>
      <c r="W6" s="24" t="n"/>
    </row>
    <row r="7" ht="48" customHeight="1">
      <c r="A7" s="11" t="n">
        <v>3</v>
      </c>
      <c r="B7" s="11" t="inlineStr">
        <is>
          <t>Zonnepanelen</t>
        </is>
      </c>
      <c r="C7" s="24" t="inlineStr">
        <is>
          <t>A++</t>
        </is>
      </c>
      <c r="D7" s="25">
        <f>MATCH(C6,Uitgangspunten!$A$15:$A$25,0)-MATCH(C7,Uitgangspunten!$A$15:$A$25,0)</f>
        <v/>
      </c>
      <c r="E7" s="11" t="inlineStr">
        <is>
          <t>ja</t>
        </is>
      </c>
      <c r="F7" s="11" t="inlineStr">
        <is>
          <t>Nog laten controleren (zonder warmtepomp)</t>
        </is>
      </c>
      <c r="G7" s="26" t="n">
        <v>-800</v>
      </c>
      <c r="H7" s="27">
        <f>Uitgangspunten!$B$11</f>
        <v/>
      </c>
      <c r="I7" s="21">
        <f>I6+G7+N(H7)</f>
        <v/>
      </c>
      <c r="J7" s="21">
        <f>I7/12</f>
        <v/>
      </c>
      <c r="K7" s="27">
        <f>(I7-I6)/12</f>
        <v/>
      </c>
      <c r="L7" s="27">
        <f>I4-I7</f>
        <v/>
      </c>
      <c r="M7" s="28" t="n"/>
      <c r="N7" s="11" t="inlineStr">
        <is>
          <t>Voorlopige schatting met warmtepomp (-€ 800), gecorrigeerd met +€ 350 omdat de warmtepomp pas stap 7 is. Correctie werkt door in stap 4 en 5.</t>
        </is>
      </c>
      <c r="O7" s="11" t="inlineStr">
        <is>
          <t>2% van startwaarde per labelstap</t>
        </is>
      </c>
      <c r="P7" s="27">
        <f>D7*Uitgangspunten!$B$10*Uitgangspunten!$B$9</f>
        <v/>
      </c>
      <c r="Q7" s="27">
        <f>Uitgangspunten!$B$12</f>
        <v/>
      </c>
      <c r="R7" s="21">
        <f>R6+P7+N(Q7)</f>
        <v/>
      </c>
      <c r="S7" s="27">
        <f>R7-R4</f>
        <v/>
      </c>
      <c r="T7" s="29">
        <f>S7/R4</f>
        <v/>
      </c>
      <c r="U7" s="11" t="inlineStr"/>
      <c r="V7" s="11" t="inlineStr">
        <is>
          <t>kadaster, milieu-centraal, nta-8800</t>
        </is>
      </c>
      <c r="W7" s="24" t="n"/>
    </row>
    <row r="8" ht="48" customHeight="1">
      <c r="A8" s="11" t="n">
        <v>4</v>
      </c>
      <c r="B8" s="11" t="inlineStr">
        <is>
          <t>Thuisbatterij met energiemanagement en dynamisch contract</t>
        </is>
      </c>
      <c r="C8" s="24" t="inlineStr">
        <is>
          <t>A++</t>
        </is>
      </c>
      <c r="D8" s="25">
        <f>MATCH(C7,Uitgangspunten!$A$15:$A$25,0)-MATCH(C8,Uitgangspunten!$A$15:$A$25,0)</f>
        <v/>
      </c>
      <c r="E8" s="11" t="inlineStr">
        <is>
          <t>nee</t>
        </is>
      </c>
      <c r="F8" s="11" t="inlineStr">
        <is>
          <t>Nog laten controleren (zonder warmtepomp)</t>
        </is>
      </c>
      <c r="G8" s="26" t="n">
        <v>-200</v>
      </c>
      <c r="H8" s="20" t="n"/>
      <c r="I8" s="21">
        <f>I7+G8+N(H8)</f>
        <v/>
      </c>
      <c r="J8" s="21">
        <f>I8/12</f>
        <v/>
      </c>
      <c r="K8" s="27">
        <f>(I8-I7)/12</f>
        <v/>
      </c>
      <c r="L8" s="27">
        <f>I4-I8</f>
        <v/>
      </c>
      <c r="M8" s="28" t="n"/>
      <c r="N8" s="11" t="inlineStr">
        <is>
          <t>Voorlopige schatting (-€ 200)</t>
        </is>
      </c>
      <c r="O8" s="11" t="inlineStr">
        <is>
          <t>2% van startwaarde per labelstap</t>
        </is>
      </c>
      <c r="P8" s="27">
        <f>D8*Uitgangspunten!$B$10*Uitgangspunten!$B$9</f>
        <v/>
      </c>
      <c r="Q8" s="20" t="n"/>
      <c r="R8" s="21">
        <f>R7+P8+N(Q8)</f>
        <v/>
      </c>
      <c r="S8" s="27">
        <f>R8-R4</f>
        <v/>
      </c>
      <c r="T8" s="29">
        <f>S8/R4</f>
        <v/>
      </c>
      <c r="U8" s="11" t="inlineStr">
        <is>
          <t>Je label blijft A++. Deze stap verlaagt vooral je kosten.</t>
        </is>
      </c>
      <c r="V8" s="11" t="inlineStr">
        <is>
          <t>kadaster, milieu-centraal, nta-8800</t>
        </is>
      </c>
      <c r="W8" s="24" t="n"/>
    </row>
    <row r="9" ht="48" customHeight="1">
      <c r="A9" s="11" t="n">
        <v>5</v>
      </c>
      <c r="B9" s="11" t="inlineStr">
        <is>
          <t>Laadpaal</t>
        </is>
      </c>
      <c r="C9" s="24" t="inlineStr">
        <is>
          <t>A++</t>
        </is>
      </c>
      <c r="D9" s="25">
        <f>MATCH(C8,Uitgangspunten!$A$15:$A$25,0)-MATCH(C9,Uitgangspunten!$A$15:$A$25,0)</f>
        <v/>
      </c>
      <c r="E9" s="11" t="inlineStr">
        <is>
          <t>nee</t>
        </is>
      </c>
      <c r="F9" s="11" t="inlineStr">
        <is>
          <t>Nog laten controleren (zonder warmtepomp)</t>
        </is>
      </c>
      <c r="G9" s="26" t="n">
        <v>600</v>
      </c>
      <c r="H9" s="20" t="n"/>
      <c r="I9" s="21">
        <f>I8+G9+N(H9)</f>
        <v/>
      </c>
      <c r="J9" s="21">
        <f>I9/12</f>
        <v/>
      </c>
      <c r="K9" s="27">
        <f>(I9-I8)/12</f>
        <v/>
      </c>
      <c r="L9" s="27">
        <f>I4-I9</f>
        <v/>
      </c>
      <c r="M9" s="28" t="n">
        <v>100</v>
      </c>
      <c r="N9" s="11" t="inlineStr">
        <is>
          <t>Door Marco opgegeven: +€ 50 per maand (+€ 600 per jaar)</t>
        </is>
      </c>
      <c r="O9" s="11" t="inlineStr">
        <is>
          <t>Door Marco opgegeven</t>
        </is>
      </c>
      <c r="P9" s="26" t="n">
        <v>5000</v>
      </c>
      <c r="Q9" s="20" t="n"/>
      <c r="R9" s="21">
        <f>R8+P9+N(Q9)</f>
        <v/>
      </c>
      <c r="S9" s="27">
        <f>R9-R4</f>
        <v/>
      </c>
      <c r="T9" s="29">
        <f>S9/R4</f>
        <v/>
      </c>
      <c r="U9" s="11" t="inlineStr">
        <is>
          <t>Je label blijft A++. Je energiekosten stijgen met circa € 50 per maand, maar je bespaart circa € 100 per maand op brandstof.</t>
        </is>
      </c>
      <c r="V9" s="11" t="inlineStr">
        <is>
          <t>kadaster, milieu-centraal, nta-8800</t>
        </is>
      </c>
      <c r="W9" s="24" t="n"/>
    </row>
    <row r="10" ht="48" customHeight="1">
      <c r="A10" s="11" t="n">
        <v>6</v>
      </c>
      <c r="B10" s="11" t="inlineStr">
        <is>
          <t>Airco die ook verwarmt</t>
        </is>
      </c>
      <c r="C10" s="24" t="inlineStr">
        <is>
          <t>A+++</t>
        </is>
      </c>
      <c r="D10" s="25">
        <f>MATCH(C9,Uitgangspunten!$A$15:$A$25,0)-MATCH(C10,Uitgangspunten!$A$15:$A$25,0)</f>
        <v/>
      </c>
      <c r="E10" s="11" t="inlineStr">
        <is>
          <t>ja</t>
        </is>
      </c>
      <c r="F10" s="11" t="inlineStr">
        <is>
          <t>Door Marco opgegeven</t>
        </is>
      </c>
      <c r="G10" s="26" t="n">
        <v>-168</v>
      </c>
      <c r="H10" s="20" t="n"/>
      <c r="I10" s="21">
        <f>I9+G10+N(H10)</f>
        <v/>
      </c>
      <c r="J10" s="21">
        <f>I10/12</f>
        <v/>
      </c>
      <c r="K10" s="27">
        <f>(I10-I9)/12</f>
        <v/>
      </c>
      <c r="L10" s="27">
        <f>I4-I10</f>
        <v/>
      </c>
      <c r="M10" s="28" t="n"/>
      <c r="N10" s="11" t="inlineStr">
        <is>
          <t>Door Marco opgegeven: -€ 14 per maand (-€ 168 per jaar)</t>
        </is>
      </c>
      <c r="O10" s="11" t="inlineStr">
        <is>
          <t>Door Marco opgegeven</t>
        </is>
      </c>
      <c r="P10" s="26" t="n">
        <v>5500</v>
      </c>
      <c r="Q10" s="20" t="n"/>
      <c r="R10" s="21">
        <f>R9+P10+N(Q10)</f>
        <v/>
      </c>
      <c r="S10" s="27">
        <f>R10-R4</f>
        <v/>
      </c>
      <c r="T10" s="29">
        <f>S10/R4</f>
        <v/>
      </c>
      <c r="U10" s="11" t="inlineStr">
        <is>
          <t>Je energiekosten dalen met circa € 14 per maand. Die besparing op gas komt uit de bijverwarmingsfunctie van de airco.</t>
        </is>
      </c>
      <c r="V10" s="11" t="inlineStr">
        <is>
          <t>geen (door Marco opgegeven)</t>
        </is>
      </c>
      <c r="W10" s="24" t="n"/>
    </row>
    <row r="11" ht="48" customHeight="1">
      <c r="A11" s="11" t="n">
        <v>7</v>
      </c>
      <c r="B11" s="11" t="inlineStr">
        <is>
          <t>Warmtepomp</t>
        </is>
      </c>
      <c r="C11" s="24" t="inlineStr">
        <is>
          <t>A++++</t>
        </is>
      </c>
      <c r="D11" s="25">
        <f>MATCH(C10,Uitgangspunten!$A$15:$A$25,0)-MATCH(C11,Uitgangspunten!$A$15:$A$25,0)</f>
        <v/>
      </c>
      <c r="E11" s="11" t="inlineStr">
        <is>
          <t>ja</t>
        </is>
      </c>
      <c r="F11" s="11" t="inlineStr">
        <is>
          <t>Door Marco opgegeven</t>
        </is>
      </c>
      <c r="G11" s="26" t="n">
        <v>-350</v>
      </c>
      <c r="H11" s="20" t="n"/>
      <c r="I11" s="21">
        <f>I10+G11+N(H11)</f>
        <v/>
      </c>
      <c r="J11" s="21">
        <f>I11/12</f>
        <v/>
      </c>
      <c r="K11" s="27">
        <f>(I11-I10)/12</f>
        <v/>
      </c>
      <c r="L11" s="27">
        <f>I4-I11</f>
        <v/>
      </c>
      <c r="M11" s="28" t="n"/>
      <c r="N11" s="11" t="inlineStr">
        <is>
          <t>Door Marco opgegeven: -€ 350 per jaar</t>
        </is>
      </c>
      <c r="O11" s="11" t="inlineStr">
        <is>
          <t>Door Marco opgegeven</t>
        </is>
      </c>
      <c r="P11" s="26" t="n">
        <v>7500</v>
      </c>
      <c r="Q11" s="20" t="n"/>
      <c r="R11" s="21">
        <f>R10+P11+N(Q11)</f>
        <v/>
      </c>
      <c r="S11" s="27">
        <f>R11-R4</f>
        <v/>
      </c>
      <c r="T11" s="29">
        <f>S11/R4</f>
        <v/>
      </c>
      <c r="U11" s="11" t="inlineStr"/>
      <c r="V11" s="11" t="inlineStr">
        <is>
          <t>geen (door Marco opgegeven)</t>
        </is>
      </c>
      <c r="W11" s="24" t="n"/>
    </row>
    <row r="13">
      <c r="A13" s="4" t="inlineStr">
        <is>
          <t>Totaal na alle stappen</t>
        </is>
      </c>
    </row>
    <row r="14">
      <c r="B14" t="inlineStr">
        <is>
          <t>Besparing energiekosten per jaar</t>
        </is>
      </c>
      <c r="I14" s="30">
        <f>L11</f>
        <v/>
      </c>
    </row>
    <row r="15">
      <c r="B15" t="inlineStr">
        <is>
          <t>Waardestijging woning</t>
        </is>
      </c>
      <c r="I15" s="30">
        <f>S11</f>
        <v/>
      </c>
    </row>
    <row r="16">
      <c r="B16" t="inlineStr">
        <is>
          <t>Energielabel</t>
        </is>
      </c>
      <c r="I16" s="6">
        <f>C4&amp;" → "&amp;C11</f>
        <v/>
      </c>
    </row>
  </sheetData>
  <mergeCells count="6">
    <mergeCell ref="A2:B2"/>
    <mergeCell ref="U2:V2"/>
    <mergeCell ref="G2:N2"/>
    <mergeCell ref="W2"/>
    <mergeCell ref="C2:F2"/>
    <mergeCell ref="O2:T2"/>
  </mergeCells>
  <dataValidations count="1">
    <dataValidation sqref="C5:C11" showDropDown="0" showInputMessage="0" showErrorMessage="0" allowBlank="0" type="list">
      <formula1>=Uitgangspunten!$A$15:$A$25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0" customWidth="1" min="3" max="3"/>
    <col width="9" customWidth="1" min="4" max="4"/>
    <col width="11" customWidth="1" min="5" max="5"/>
    <col width="13" customWidth="1" min="6" max="6"/>
    <col width="8" customWidth="1" min="7" max="7"/>
    <col width="34" customWidth="1" min="8" max="8"/>
    <col width="44" customWidth="1" min="9" max="9"/>
  </cols>
  <sheetData>
    <row r="1">
      <c r="A1" s="7" t="inlineStr">
        <is>
          <t>Pakketten: labeleffect</t>
        </is>
      </c>
    </row>
    <row r="3" ht="34" customHeight="1">
      <c r="A3" s="17" t="inlineStr">
        <is>
          <t>Pakket</t>
        </is>
      </c>
      <c r="B3" s="17" t="inlineStr">
        <is>
          <t>Maatregelen</t>
        </is>
      </c>
      <c r="C3" s="17" t="inlineStr">
        <is>
          <t>Tot en met stap</t>
        </is>
      </c>
      <c r="D3" s="17" t="inlineStr">
        <is>
          <t>Label van</t>
        </is>
      </c>
      <c r="E3" s="17" t="inlineStr">
        <is>
          <t>Label naar (site)</t>
        </is>
      </c>
      <c r="F3" s="17" t="inlineStr">
        <is>
          <t>Label volgens stappenplan</t>
        </is>
      </c>
      <c r="G3" s="17" t="inlineStr">
        <is>
          <t>Gelijk?</t>
        </is>
      </c>
      <c r="H3" s="17" t="inlineStr">
        <is>
          <t>Status</t>
        </is>
      </c>
      <c r="I3" s="17" t="inlineStr">
        <is>
          <t>Jouw aanpassing of opmerking</t>
        </is>
      </c>
    </row>
    <row r="4" ht="46" customHeight="1">
      <c r="A4" s="31" t="inlineStr">
        <is>
          <t>Ferme grip</t>
        </is>
      </c>
      <c r="B4" s="11" t="inlineStr">
        <is>
          <t>Kozijnen met HR++ glas, Dak- en vloerisolatie</t>
        </is>
      </c>
      <c r="C4" s="24" t="n">
        <v>2</v>
      </c>
      <c r="D4" s="11" t="inlineStr">
        <is>
          <t>C</t>
        </is>
      </c>
      <c r="E4" s="24" t="inlineStr">
        <is>
          <t>A</t>
        </is>
      </c>
      <c r="F4" s="18">
        <f>INDEX(Stappenplan!C4:C11,C4+1)</f>
        <v/>
      </c>
      <c r="G4" s="18">
        <f>IF(E4=F4,"ja","nee")</f>
        <v/>
      </c>
      <c r="H4" s="11" t="inlineStr">
        <is>
          <t>Schatting, nog valideren</t>
        </is>
      </c>
      <c r="I4" s="24" t="n"/>
    </row>
    <row r="5" ht="46" customHeight="1">
      <c r="A5" s="31" t="inlineStr">
        <is>
          <t>Stevige grip</t>
        </is>
      </c>
      <c r="B5" s="11" t="inlineStr">
        <is>
          <t>Alles uit Ferme grip, Zonnepanelen</t>
        </is>
      </c>
      <c r="C5" s="24" t="n">
        <v>3</v>
      </c>
      <c r="D5" s="11" t="inlineStr">
        <is>
          <t>C</t>
        </is>
      </c>
      <c r="E5" s="24" t="inlineStr">
        <is>
          <t>A++</t>
        </is>
      </c>
      <c r="F5" s="18">
        <f>INDEX(Stappenplan!C4:C11,C5+1)</f>
        <v/>
      </c>
      <c r="G5" s="18">
        <f>IF(E5=F5,"ja","nee")</f>
        <v/>
      </c>
      <c r="H5" s="11" t="inlineStr">
        <is>
          <t>Nog opnieuw berekenen (was berekend met warmtepomp)</t>
        </is>
      </c>
      <c r="I5" s="24" t="n"/>
    </row>
    <row r="6" ht="46" customHeight="1">
      <c r="A6" s="31" t="inlineStr">
        <is>
          <t>Volledige grip</t>
        </is>
      </c>
      <c r="B6" s="11" t="inlineStr">
        <is>
          <t>Alles uit Stevige grip, Thuisbatterij met energiemanagement, Dynamisch energiecontract, Laadpaal, airco en warmtepomp als je dat wilt</t>
        </is>
      </c>
      <c r="C6" s="24" t="n">
        <v>7</v>
      </c>
      <c r="D6" s="11" t="inlineStr">
        <is>
          <t>C</t>
        </is>
      </c>
      <c r="E6" s="24" t="inlineStr">
        <is>
          <t>A++++</t>
        </is>
      </c>
      <c r="F6" s="18">
        <f>INDEX(Stappenplan!C4:C11,C6+1)</f>
        <v/>
      </c>
      <c r="G6" s="18">
        <f>IF(E6=F6,"ja","nee")</f>
        <v/>
      </c>
      <c r="H6" s="11" t="inlineStr">
        <is>
          <t>Door Marco bevestigd (gelijk aan stap 7)</t>
        </is>
      </c>
      <c r="I6" s="24" t="n"/>
    </row>
    <row r="8">
      <c r="A8" s="32" t="inlineStr">
        <is>
          <t>Volledige grip bevat airco en warmtepomp "als je dat wilt"; het labeleffect A++++ gaat uit van alle stappen.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1" customWidth="1" min="3" max="3"/>
    <col width="9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</cols>
  <sheetData>
    <row r="1">
      <c r="A1" s="7" t="inlineStr">
        <is>
          <t>Controle: berekening naast wat nu op de site staat</t>
        </is>
      </c>
    </row>
    <row r="3" ht="34" customHeight="1">
      <c r="A3" s="17" t="inlineStr">
        <is>
          <t>Stap</t>
        </is>
      </c>
      <c r="B3" s="17" t="inlineStr">
        <is>
          <t>Ingreep</t>
        </is>
      </c>
      <c r="C3" s="17" t="inlineStr">
        <is>
          <t>Label berekening</t>
        </is>
      </c>
      <c r="D3" s="17" t="inlineStr">
        <is>
          <t>Label site</t>
        </is>
      </c>
      <c r="E3" s="17" t="inlineStr">
        <is>
          <t>Energiekosten berekening</t>
        </is>
      </c>
      <c r="F3" s="17" t="inlineStr">
        <is>
          <t>Energiekosten site</t>
        </is>
      </c>
      <c r="G3" s="17" t="inlineStr">
        <is>
          <t>Woningwaarde berekening</t>
        </is>
      </c>
      <c r="H3" s="17" t="inlineStr">
        <is>
          <t>Woningwaarde site</t>
        </is>
      </c>
      <c r="I3" s="17" t="inlineStr">
        <is>
          <t>Verandert op de site?</t>
        </is>
      </c>
    </row>
    <row r="4">
      <c r="A4" s="9" t="n">
        <v>0</v>
      </c>
      <c r="B4" s="9" t="inlineStr">
        <is>
          <t>Uitgangssituatie</t>
        </is>
      </c>
      <c r="C4" s="33">
        <f>Stappenplan!C4</f>
        <v/>
      </c>
      <c r="D4" s="9" t="inlineStr">
        <is>
          <t>C</t>
        </is>
      </c>
      <c r="E4" s="34">
        <f>Stappenplan!I4</f>
        <v/>
      </c>
      <c r="F4" s="35" t="n">
        <v>2300</v>
      </c>
      <c r="G4" s="34">
        <f>Stappenplan!R4</f>
        <v/>
      </c>
      <c r="H4" s="35" t="n">
        <v>400000</v>
      </c>
      <c r="I4" s="33">
        <f>IF(AND(C4=D4,ROUND(E4,0)=F4,ROUND(G4,0)=H4),"nee","ja")</f>
        <v/>
      </c>
    </row>
    <row r="5">
      <c r="A5" s="9" t="n">
        <v>1</v>
      </c>
      <c r="B5" s="9" t="inlineStr">
        <is>
          <t>Kozijnen met HR++ glas</t>
        </is>
      </c>
      <c r="C5" s="33">
        <f>Stappenplan!C5</f>
        <v/>
      </c>
      <c r="D5" s="9" t="inlineStr">
        <is>
          <t>B</t>
        </is>
      </c>
      <c r="E5" s="34">
        <f>Stappenplan!I5</f>
        <v/>
      </c>
      <c r="F5" s="35" t="n">
        <v>2050</v>
      </c>
      <c r="G5" s="34">
        <f>Stappenplan!R5</f>
        <v/>
      </c>
      <c r="H5" s="35" t="n">
        <v>408000</v>
      </c>
      <c r="I5" s="33">
        <f>IF(AND(C5=D5,ROUND(E5,0)=F5,ROUND(G5,0)=H5),"nee","ja")</f>
        <v/>
      </c>
    </row>
    <row r="6">
      <c r="A6" s="9" t="n">
        <v>2</v>
      </c>
      <c r="B6" s="9" t="inlineStr">
        <is>
          <t>Dak- en vloerisolatie</t>
        </is>
      </c>
      <c r="C6" s="33">
        <f>Stappenplan!C6</f>
        <v/>
      </c>
      <c r="D6" s="9" t="inlineStr">
        <is>
          <t>A</t>
        </is>
      </c>
      <c r="E6" s="34">
        <f>Stappenplan!I6</f>
        <v/>
      </c>
      <c r="F6" s="35" t="n">
        <v>1750</v>
      </c>
      <c r="G6" s="34">
        <f>Stappenplan!R6</f>
        <v/>
      </c>
      <c r="H6" s="35" t="n">
        <v>416000</v>
      </c>
      <c r="I6" s="33">
        <f>IF(AND(C6=D6,ROUND(E6,0)=F6,ROUND(G6,0)=H6),"nee","ja")</f>
        <v/>
      </c>
    </row>
    <row r="7">
      <c r="A7" s="9" t="n">
        <v>3</v>
      </c>
      <c r="B7" s="9" t="inlineStr">
        <is>
          <t>Zonnepanelen</t>
        </is>
      </c>
      <c r="C7" s="33">
        <f>Stappenplan!C7</f>
        <v/>
      </c>
      <c r="D7" s="9" t="inlineStr">
        <is>
          <t>A++</t>
        </is>
      </c>
      <c r="E7" s="34">
        <f>Stappenplan!I7</f>
        <v/>
      </c>
      <c r="F7" s="35" t="n">
        <v>1300</v>
      </c>
      <c r="G7" s="34">
        <f>Stappenplan!R7</f>
        <v/>
      </c>
      <c r="H7" s="35" t="n">
        <v>424500</v>
      </c>
      <c r="I7" s="33">
        <f>IF(AND(C7=D7,ROUND(E7,0)=F7,ROUND(G7,0)=H7),"nee","ja")</f>
        <v/>
      </c>
    </row>
    <row r="8">
      <c r="A8" s="9" t="n">
        <v>4</v>
      </c>
      <c r="B8" s="9" t="inlineStr">
        <is>
          <t>Thuisbatterij met energiemanagement en dynamisch contract</t>
        </is>
      </c>
      <c r="C8" s="33">
        <f>Stappenplan!C8</f>
        <v/>
      </c>
      <c r="D8" s="9" t="inlineStr">
        <is>
          <t>A++</t>
        </is>
      </c>
      <c r="E8" s="34">
        <f>Stappenplan!I8</f>
        <v/>
      </c>
      <c r="F8" s="35" t="n">
        <v>1100</v>
      </c>
      <c r="G8" s="34">
        <f>Stappenplan!R8</f>
        <v/>
      </c>
      <c r="H8" s="35" t="n">
        <v>424500</v>
      </c>
      <c r="I8" s="33">
        <f>IF(AND(C8=D8,ROUND(E8,0)=F8,ROUND(G8,0)=H8),"nee","ja")</f>
        <v/>
      </c>
    </row>
    <row r="9">
      <c r="A9" s="9" t="n">
        <v>5</v>
      </c>
      <c r="B9" s="9" t="inlineStr">
        <is>
          <t>Laadpaal</t>
        </is>
      </c>
      <c r="C9" s="33">
        <f>Stappenplan!C9</f>
        <v/>
      </c>
      <c r="D9" s="9" t="inlineStr">
        <is>
          <t>A++</t>
        </is>
      </c>
      <c r="E9" s="34">
        <f>Stappenplan!I9</f>
        <v/>
      </c>
      <c r="F9" s="35" t="n">
        <v>1700</v>
      </c>
      <c r="G9" s="34">
        <f>Stappenplan!R9</f>
        <v/>
      </c>
      <c r="H9" s="35" t="n">
        <v>429500</v>
      </c>
      <c r="I9" s="33">
        <f>IF(AND(C9=D9,ROUND(E9,0)=F9,ROUND(G9,0)=H9),"nee","ja")</f>
        <v/>
      </c>
    </row>
    <row r="10">
      <c r="A10" s="9" t="n">
        <v>6</v>
      </c>
      <c r="B10" s="9" t="inlineStr">
        <is>
          <t>Airco die ook verwarmt</t>
        </is>
      </c>
      <c r="C10" s="33">
        <f>Stappenplan!C10</f>
        <v/>
      </c>
      <c r="D10" s="9" t="inlineStr">
        <is>
          <t>A+++</t>
        </is>
      </c>
      <c r="E10" s="34">
        <f>Stappenplan!I10</f>
        <v/>
      </c>
      <c r="F10" s="35" t="n">
        <v>1532</v>
      </c>
      <c r="G10" s="34">
        <f>Stappenplan!R10</f>
        <v/>
      </c>
      <c r="H10" s="35" t="n">
        <v>435000</v>
      </c>
      <c r="I10" s="33">
        <f>IF(AND(C10=D10,ROUND(E10,0)=F10,ROUND(G10,0)=H10),"nee","ja")</f>
        <v/>
      </c>
    </row>
    <row r="11">
      <c r="A11" s="9" t="n">
        <v>7</v>
      </c>
      <c r="B11" s="9" t="inlineStr">
        <is>
          <t>Warmtepomp</t>
        </is>
      </c>
      <c r="C11" s="33">
        <f>Stappenplan!C11</f>
        <v/>
      </c>
      <c r="D11" s="9" t="inlineStr">
        <is>
          <t>A++++</t>
        </is>
      </c>
      <c r="E11" s="34">
        <f>Stappenplan!I11</f>
        <v/>
      </c>
      <c r="F11" s="35" t="n">
        <v>1182</v>
      </c>
      <c r="G11" s="34">
        <f>Stappenplan!R11</f>
        <v/>
      </c>
      <c r="H11" s="35" t="n">
        <v>442500</v>
      </c>
      <c r="I11" s="33">
        <f>IF(AND(C11=D11,ROUND(E11,0)=F11,ROUND(G11,0)=H11),"nee","ja")</f>
        <v/>
      </c>
    </row>
  </sheetData>
  <conditionalFormatting sqref="I4:I11">
    <cfRule type="expression" priority="1" dxfId="0">
      <formula>I4="ja"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70" customWidth="1" min="3" max="3"/>
  </cols>
  <sheetData>
    <row r="1">
      <c r="A1" s="7" t="inlineStr">
        <is>
          <t>Bronnen</t>
        </is>
      </c>
    </row>
    <row r="3">
      <c r="A3" s="8" t="inlineStr">
        <is>
          <t>Id</t>
        </is>
      </c>
      <c r="B3" s="8" t="inlineStr">
        <is>
          <t>Omschrijving</t>
        </is>
      </c>
      <c r="C3" s="8" t="inlineStr">
        <is>
          <t>Link</t>
        </is>
      </c>
    </row>
    <row r="4">
      <c r="A4" t="inlineStr">
        <is>
          <t>voorbeeldwoning</t>
        </is>
      </c>
      <c r="B4" s="2" t="inlineStr">
        <is>
          <t>Uitgangspunten voorbeeldwoning: hoekwoning, bouwjaar circa 1980, circa 120 m², label C</t>
        </is>
      </c>
    </row>
    <row r="5">
      <c r="A5" t="inlineStr">
        <is>
          <t>bag</t>
        </is>
      </c>
      <c r="B5" s="2" t="inlineStr">
        <is>
          <t>Basisregistratie Adressen en Gebouwen (BAG): woonoppervlak en bouwjaar</t>
        </is>
      </c>
      <c r="C5" s="36" t="inlineStr">
        <is>
          <t>https://bagviewer.kadaster.nl</t>
        </is>
      </c>
    </row>
    <row r="6">
      <c r="A6" t="inlineStr">
        <is>
          <t>ep-online</t>
        </is>
      </c>
      <c r="B6" s="2" t="inlineStr">
        <is>
          <t>Energielabels van woningen</t>
        </is>
      </c>
      <c r="C6" s="36" t="inlineStr">
        <is>
          <t>https://www.ep-online.nl</t>
        </is>
      </c>
    </row>
    <row r="7">
      <c r="A7" t="inlineStr">
        <is>
          <t>nta-8800</t>
        </is>
      </c>
      <c r="B7" s="2" t="inlineStr">
        <is>
          <t>Bepalingsmethode energieprestatie van gebouwen (NTA 8800), inschatting labelsprong door een gecertificeerde EP-adviseur</t>
        </is>
      </c>
      <c r="C7" s="36" t="inlineStr">
        <is>
          <t>https://www.rvo.nl/onderwerpen/wetten-en-regels-gebouwen/energielabel-woningen</t>
        </is>
      </c>
    </row>
    <row r="8">
      <c r="A8" t="inlineStr">
        <is>
          <t>milieu-centraal</t>
        </is>
      </c>
      <c r="B8" s="2" t="inlineStr">
        <is>
          <t>Gemiddeld energieverbruik en energieprijzen</t>
        </is>
      </c>
      <c r="C8" s="36" t="inlineStr">
        <is>
          <t>https://www.milieucentraal.nl/energie-besparen/inzicht-in-je-energierekening/gemiddeld-energieverbruik/</t>
        </is>
      </c>
    </row>
    <row r="9">
      <c r="A9" t="inlineStr">
        <is>
          <t>kadaster</t>
        </is>
      </c>
      <c r="B9" s="2" t="inlineStr">
        <is>
          <t>Verkoopprijs van woningen naar energielabel: label B verkoopt gemiddeld circa 2,1% lager dan label A of beter</t>
        </is>
      </c>
      <c r="C9" s="36" t="inlineStr">
        <is>
          <t>https://www.kadaster.nl/zakelijk/vastgoedinformatie/vastgoedcijfers</t>
        </is>
      </c>
    </row>
    <row r="10">
      <c r="A10" t="inlineStr">
        <is>
          <t>bedenktijd</t>
        </is>
      </c>
      <c r="B10" s="2" t="inlineStr">
        <is>
          <t>Bedenktijd van 14 dagen bij koop op afstand en buiten de winkel</t>
        </is>
      </c>
      <c r="C10" s="36" t="inlineStr">
        <is>
          <t>https://www.consuwijzer.nl/kopen-op-afstand/bedenktijd</t>
        </is>
      </c>
    </row>
    <row r="11">
      <c r="A11" t="inlineStr">
        <is>
          <t>isde</t>
        </is>
      </c>
      <c r="B11" s="2" t="inlineStr">
        <is>
          <t>ISDE: subsidie voor woningeigenaren, onder meer voor warmtepompen en isolatie</t>
        </is>
      </c>
      <c r="C11" s="36" t="inlineStr">
        <is>
          <t>https://www.rvo.nl/subsidies-financiering/isde/woningeigenaren</t>
        </is>
      </c>
    </row>
    <row r="12">
      <c r="A12" t="inlineStr">
        <is>
          <t>warmtefonds</t>
        </is>
      </c>
      <c r="B12" s="2" t="inlineStr">
        <is>
          <t>Lenen voor het verduurzamen van je woning</t>
        </is>
      </c>
      <c r="C12" s="36" t="inlineStr">
        <is>
          <t>https://www.warmtefonds.nl</t>
        </is>
      </c>
    </row>
  </sheetData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2026-10-17T13:54:57Z</dcterms:created>
  <dcterms:modified xsi:type="dcterms:W3CDTF">2026-10-17T13:54:57Z</dcterms:modified>
</cp:coreProperties>
</file>